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c10\OneDrive\Documentos\"/>
    </mc:Choice>
  </mc:AlternateContent>
  <xr:revisionPtr revIDLastSave="0" documentId="8_{05A4C48D-3252-4186-84B7-3E8FEDD28266}" xr6:coauthVersionLast="47" xr6:coauthVersionMax="47" xr10:uidLastSave="{00000000-0000-0000-0000-000000000000}"/>
  <bookViews>
    <workbookView xWindow="-120" yWindow="-120" windowWidth="29040" windowHeight="15720" xr2:uid="{726E9426-6EA4-469C-AAB9-EA38AA75F4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27" i="1"/>
  <c r="H28" i="1"/>
  <c r="H29" i="1"/>
  <c r="H30" i="1"/>
  <c r="H31" i="1"/>
  <c r="H32" i="1"/>
  <c r="H20" i="1"/>
  <c r="H21" i="1"/>
  <c r="H22" i="1"/>
  <c r="H23" i="1"/>
  <c r="H16" i="1"/>
  <c r="H17" i="1"/>
  <c r="H18" i="1"/>
  <c r="H19" i="1"/>
  <c r="H15" i="1"/>
  <c r="H14" i="1"/>
  <c r="H13" i="1"/>
  <c r="H12" i="1"/>
  <c r="H11" i="1"/>
  <c r="H10" i="1"/>
  <c r="H9" i="1"/>
  <c r="H8" i="1"/>
  <c r="H6" i="1" l="1"/>
  <c r="H5" i="1"/>
  <c r="H40" i="1"/>
  <c r="H4" i="1"/>
  <c r="H7" i="1"/>
  <c r="H33" i="1"/>
  <c r="H34" i="1"/>
  <c r="H35" i="1"/>
  <c r="H39" i="1" l="1"/>
  <c r="G42" i="1" s="1"/>
</calcChain>
</file>

<file path=xl/sharedStrings.xml><?xml version="1.0" encoding="utf-8"?>
<sst xmlns="http://schemas.openxmlformats.org/spreadsheetml/2006/main" count="98" uniqueCount="56">
  <si>
    <t>Escala de Calificación</t>
  </si>
  <si>
    <t>Categorías de Evaluación</t>
  </si>
  <si>
    <t>0pts</t>
  </si>
  <si>
    <t>1 pts</t>
  </si>
  <si>
    <t>2 pts</t>
  </si>
  <si>
    <t>3 pts</t>
  </si>
  <si>
    <t>4 pts</t>
  </si>
  <si>
    <t>%</t>
  </si>
  <si>
    <t>Nota:</t>
  </si>
  <si>
    <t>Notas: Cada categoría se califica según la escala utilizando una X.</t>
  </si>
  <si>
    <t>Comentarios</t>
  </si>
  <si>
    <t>No hay evidencia de que exista un código/estrategia que intente resolver el problema</t>
  </si>
  <si>
    <t>Existe un código/estrategia que intenta resolver el problema pero no genera resultados</t>
  </si>
  <si>
    <t>Existe un código/estrategia atinente a resolver el problema que muestra resultados pero que tiene fallas importantes</t>
  </si>
  <si>
    <t>Existe un código/estrategia que resuelve el problema y muestra resultados importantes aún cuando presenta fallas menores</t>
  </si>
  <si>
    <t>El código/estrategia existente es completamente funcional y atinente a resolver el problema</t>
  </si>
  <si>
    <t>No se aporta documentación</t>
  </si>
  <si>
    <t>La documentación aportada no explica adecuadamente o no abarca lo solicitado</t>
  </si>
  <si>
    <t>La documentación aportada explica de forma muy simple y poco clara los elementos solicitados</t>
  </si>
  <si>
    <t>La documentación aportada explica de una manera completa pero con margen a dudas respecto de lo planteado</t>
  </si>
  <si>
    <t>La documentación aportada explica adecuadamente lo solicitado sin margen a dudas respecto de lo planteado</t>
  </si>
  <si>
    <t>SCANNER: Despliegue eficiente e identificable de posibles errores léxicos presentes en los archivos de prueba.</t>
  </si>
  <si>
    <t>PARSER: Reconocimiento de reglas para declaraciones presentes en el lenguaje</t>
  </si>
  <si>
    <t xml:space="preserve">PARSER: Reconocimiento de reglas para statements presentes en el lenguaje  </t>
  </si>
  <si>
    <t xml:space="preserve">PARSER: Reconocimiento de reglas para expresiones presentes en el lenguaje  </t>
  </si>
  <si>
    <t>PARSER: Despliegue eficiente e identificable de posibles errores sintácticos presentes en los códigos fuente</t>
  </si>
  <si>
    <t>DOCUMENTACIÓN: se presenta una documentación legible a partir de correctos elementos gramaticales y sin errores ortográficos</t>
  </si>
  <si>
    <t>x</t>
  </si>
  <si>
    <t>TABLA DE SIMBOLOS: funcionamiento adecuado de todo lo referente con el manejo de la tabla de símbolos</t>
  </si>
  <si>
    <t>VISITOR: implementación correcta del patrón visitor según estructura definida por ANTLR4</t>
  </si>
  <si>
    <t>CHEQUEO DE ALCANCES: se controla adecuadamente que no se puedan redeclarar dos o más identificadores con el mismo nombre (tanto variables, parámetros o métodos)</t>
  </si>
  <si>
    <t>CHEQUEO DE ALCANCES: Se controla adecuadamente la existencia de métodos cuando estos sean llamados (siempre que el nivel lo permita)</t>
  </si>
  <si>
    <t>CHEQUEO DE ALCANCES: Se controla adecuadamente que al llamar a un método se respete la cantidad de argumentos con que este fue declarado</t>
  </si>
  <si>
    <t>CHEQUEO DE ALCANCES: El reporte de errores es claro y conciso, adempas de que utiliza la fila y la columna para comunicarle al usuario la posición del error</t>
  </si>
  <si>
    <t>CHEQUEO DE TIPOS: Se verifican adecuadamente los tipos en asignaciones donde se debe respetar la equivalencia entre el identificador y la expresión</t>
  </si>
  <si>
    <t>CHEQUEO DE TIPOS: Se verifican adecuadamente los tipos en expresiones lógicas de manera que sean consideradas como de tipo booleano</t>
  </si>
  <si>
    <t>CHEQUEO DE TIPOS: Se verifica adecuadamente los tipos de datos de los argumentos al llamar a un método que coincidan con los tipos de declaración</t>
  </si>
  <si>
    <t>CHEQUEO DE TIPOS: se verifica adecuadamente el tipo de retorno de una función al momento de ejecutar el statement RETURN (debe coincidir con el tipo de declaración de la función)</t>
  </si>
  <si>
    <t>CHEQUEO DE TIPOS: El reporte de errores es claro y conciso, adempas de que utiliza la fila y la columna para comunicarle al usuario la posición del error</t>
  </si>
  <si>
    <r>
      <t xml:space="preserve">CODIGO GENERADO: funciona adecuadamente y en diversos excenarios probados la declaración y uso de </t>
    </r>
    <r>
      <rPr>
        <b/>
        <sz val="11"/>
        <color theme="1"/>
        <rFont val="Calibri"/>
        <family val="2"/>
        <scheme val="minor"/>
      </rPr>
      <t>variables globales</t>
    </r>
  </si>
  <si>
    <r>
      <t xml:space="preserve">CODIGO GENERADO: funciona adecuadamente y en diversos excenarios probados la declaración y uso de </t>
    </r>
    <r>
      <rPr>
        <b/>
        <sz val="11"/>
        <color theme="1"/>
        <rFont val="Calibri"/>
        <family val="2"/>
        <scheme val="minor"/>
      </rPr>
      <t>metodos de nivel global, con o sin parámetros o retorno</t>
    </r>
  </si>
  <si>
    <r>
      <t xml:space="preserve">CODIGO GENERADO: funciona adecuadamente y en diversos excenarios probados la declaración y uso de </t>
    </r>
    <r>
      <rPr>
        <b/>
        <sz val="11"/>
        <color theme="1"/>
        <rFont val="Calibri"/>
        <family val="2"/>
        <scheme val="minor"/>
      </rPr>
      <t>variables y parámetros locales</t>
    </r>
  </si>
  <si>
    <r>
      <t xml:space="preserve">CODIGO GENERADO: funciona adecuadamente y en diversos excenarios probados el uso de </t>
    </r>
    <r>
      <rPr>
        <b/>
        <sz val="11"/>
        <color theme="1"/>
        <rFont val="Calibri"/>
        <family val="2"/>
        <scheme val="minor"/>
      </rPr>
      <t>expresiones con cualquier tipo de datos simple permitido semánticamente</t>
    </r>
  </si>
  <si>
    <t>DOCUMENTACIÓN: Se presenta una documentación suficientemente descriptiva de una forma clara y concisa de los elementos abarcados en el desarrollo del proyecto según el formato solicitado.</t>
  </si>
  <si>
    <t>GUI: Editor amigable. Opciones de compilación funcionales. Identificación de código correcta por línea y columna.</t>
  </si>
  <si>
    <t>GUI: Manejo de archivos correcto.</t>
  </si>
  <si>
    <t>SCANNER: Idendificación de tokens simples presentes en la gramática</t>
  </si>
  <si>
    <t>SCANNER: Identificación de tokens con expresiones regulares complejas presentes en la gramática, incluyendo comentarios</t>
  </si>
  <si>
    <t>CHEQUEO DE ALCANCES: Se controla adecuadamente todos los niveles de los identificadores entre cosas globales y locales (incluyendo parámetros y retornos de funciones)</t>
  </si>
  <si>
    <t>CHEQUEO DE ALCANCES: Se controla adecuadamente que al utilizar una variable de tipo struct, los campos que se pueden acceder de la misma, estén correctamente declarados</t>
  </si>
  <si>
    <t>CHEQUEO DE TIPOS: se verifica adecuadamente los tipos en el uso de slice y arrays</t>
  </si>
  <si>
    <t>CHEQUEO DE TIPOS: se verifican adecuadamente los tipos de datos en expresiones complejas considerando cualquier posibilidad según la sintaxis y las reglas semánticas del lenguaje. Cualquier cosa que no sea válida de forma semántica (aunque lo sea de forma sintáctica) debe ser reportada como error</t>
  </si>
  <si>
    <t>CHEQUEO DE TIPOS: Se verifica adecuadamente el tipo de datos de los elementos de un struct</t>
  </si>
  <si>
    <r>
      <t xml:space="preserve">CODIGO GENERADO: funciona adecuadamente y en diversos excenarios probados la declaración y uso de </t>
    </r>
    <r>
      <rPr>
        <b/>
        <sz val="11"/>
        <color theme="1"/>
        <rFont val="Calibri"/>
        <family val="2"/>
        <scheme val="minor"/>
      </rPr>
      <t>slice y arrays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</si>
  <si>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CODIGO GENERADO: funciona adecuadamente y en diversos excenarios probados el uso de instrucciones de control como 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switch</t>
    </r>
  </si>
  <si>
    <r>
      <t>CODIGO GENERADO: funciona adecuadamente y en diversos excenarios probados el uso de métodos predefinidos</t>
    </r>
    <r>
      <rPr>
        <b/>
        <sz val="11"/>
        <color theme="1"/>
        <rFont val="Calibri"/>
        <family val="2"/>
        <scheme val="minor"/>
      </rPr>
      <t xml:space="preserve"> print, cap, len, etc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</si>
</sst>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rgb="FF0000FF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2" xfId="0" applyBorder="1" applyAlignment="1">
      <alignment horizontal="left" wrapText="1"/>
    </xf>
    <xf numFmtId="0" fontId="0" fillId="0" borderId="2" xfId="0" applyBorder="1"/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27" xfId="0" applyBorder="1" applyAlignment="1">
      <alignment horizontal="left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27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7" xfId="0" applyBorder="1" applyAlignment="1">
      <alignment horizontal="left" wrapText="1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0" fillId="0" borderId="39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164" fontId="1" fillId="0" borderId="22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6" fillId="0" borderId="20" xfId="0" applyFont="1" applyBorder="1" applyAlignment="1">
      <alignment wrapText="1"/>
    </xf>
    <xf numFmtId="164" fontId="1" fillId="0" borderId="15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00FF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BAE2-7E0B-4AEA-9F9D-DB175776C63A}">
  <dimension ref="A1:I42"/>
  <sheetViews>
    <sheetView tabSelected="1" topLeftCell="A27" zoomScale="115" zoomScaleNormal="115" workbookViewId="0">
      <selection activeCell="A36" sqref="A36"/>
    </sheetView>
  </sheetViews>
  <sheetFormatPr baseColWidth="10" defaultRowHeight="15" x14ac:dyDescent="0.25"/>
  <cols>
    <col min="1" max="1" width="32.140625" customWidth="1"/>
    <col min="2" max="2" width="6.140625" customWidth="1"/>
    <col min="3" max="3" width="17.28515625" customWidth="1"/>
    <col min="4" max="4" width="18" customWidth="1"/>
    <col min="5" max="5" width="17" customWidth="1"/>
    <col min="6" max="6" width="18.5703125" customWidth="1"/>
    <col min="7" max="7" width="18.85546875" customWidth="1"/>
    <col min="8" max="8" width="11.42578125" hidden="1" customWidth="1"/>
    <col min="9" max="9" width="61.140625" customWidth="1"/>
  </cols>
  <sheetData>
    <row r="1" spans="1:9" ht="18.75" x14ac:dyDescent="0.3">
      <c r="A1" s="1"/>
      <c r="B1" s="6"/>
      <c r="C1" s="49" t="s">
        <v>0</v>
      </c>
      <c r="D1" s="50"/>
      <c r="E1" s="50"/>
      <c r="F1" s="50"/>
      <c r="G1" s="51"/>
      <c r="H1" s="6"/>
      <c r="I1" s="52" t="s">
        <v>10</v>
      </c>
    </row>
    <row r="2" spans="1:9" ht="135.75" thickBot="1" x14ac:dyDescent="0.3">
      <c r="A2" s="11" t="s">
        <v>9</v>
      </c>
      <c r="C2" s="30" t="s">
        <v>11</v>
      </c>
      <c r="D2" s="31" t="s">
        <v>12</v>
      </c>
      <c r="E2" s="31" t="s">
        <v>13</v>
      </c>
      <c r="F2" s="31" t="s">
        <v>14</v>
      </c>
      <c r="G2" s="32" t="s">
        <v>15</v>
      </c>
      <c r="I2" s="53"/>
    </row>
    <row r="3" spans="1:9" ht="19.5" thickBot="1" x14ac:dyDescent="0.35">
      <c r="A3" s="34" t="s">
        <v>1</v>
      </c>
      <c r="B3" s="35" t="s">
        <v>7</v>
      </c>
      <c r="C3" s="36" t="s">
        <v>2</v>
      </c>
      <c r="D3" s="37" t="s">
        <v>3</v>
      </c>
      <c r="E3" s="37" t="s">
        <v>4</v>
      </c>
      <c r="F3" s="37" t="s">
        <v>5</v>
      </c>
      <c r="G3" s="38" t="s">
        <v>6</v>
      </c>
      <c r="H3" s="39"/>
      <c r="I3" s="54"/>
    </row>
    <row r="4" spans="1:9" ht="94.15" customHeight="1" x14ac:dyDescent="0.25">
      <c r="A4" s="33" t="s">
        <v>44</v>
      </c>
      <c r="B4" s="47">
        <v>2.5</v>
      </c>
      <c r="C4" s="19"/>
      <c r="D4" s="20"/>
      <c r="E4" s="20"/>
      <c r="F4" s="20"/>
      <c r="G4" s="21" t="s">
        <v>27</v>
      </c>
      <c r="H4">
        <f t="shared" ref="H4:H35" si="0">_xlfn.IFS(C4="X",(0*B4)/4,D4="X",(1*B4)/4,E4="X",(2*B4)/4,F4="X",(3*B4)/4,G4="X",(4*B4)/4)</f>
        <v>2.5</v>
      </c>
      <c r="I4" s="44"/>
    </row>
    <row r="5" spans="1:9" ht="28.15" customHeight="1" x14ac:dyDescent="0.25">
      <c r="A5" s="33" t="s">
        <v>45</v>
      </c>
      <c r="B5" s="47">
        <v>2.5</v>
      </c>
      <c r="C5" s="19"/>
      <c r="D5" s="20"/>
      <c r="E5" s="20"/>
      <c r="F5" s="20"/>
      <c r="G5" s="21" t="s">
        <v>27</v>
      </c>
      <c r="H5">
        <f t="shared" si="0"/>
        <v>2.5</v>
      </c>
      <c r="I5" s="44"/>
    </row>
    <row r="6" spans="1:9" ht="72.75" customHeight="1" x14ac:dyDescent="0.25">
      <c r="A6" s="33" t="s">
        <v>46</v>
      </c>
      <c r="B6" s="47">
        <v>2.5</v>
      </c>
      <c r="C6" s="19"/>
      <c r="D6" s="20"/>
      <c r="E6" s="20"/>
      <c r="F6" s="20"/>
      <c r="G6" s="21" t="s">
        <v>27</v>
      </c>
      <c r="H6">
        <f t="shared" si="0"/>
        <v>2.5</v>
      </c>
      <c r="I6" s="44"/>
    </row>
    <row r="7" spans="1:9" ht="69" customHeight="1" x14ac:dyDescent="0.25">
      <c r="A7" s="5" t="s">
        <v>47</v>
      </c>
      <c r="B7" s="47">
        <v>2.5</v>
      </c>
      <c r="C7" s="19"/>
      <c r="D7" s="20"/>
      <c r="E7" s="20"/>
      <c r="F7" s="20"/>
      <c r="G7" s="21" t="s">
        <v>27</v>
      </c>
      <c r="H7">
        <f t="shared" si="0"/>
        <v>2.5</v>
      </c>
      <c r="I7" s="44"/>
    </row>
    <row r="8" spans="1:9" ht="69" customHeight="1" x14ac:dyDescent="0.25">
      <c r="A8" s="5" t="s">
        <v>21</v>
      </c>
      <c r="B8" s="47">
        <v>2</v>
      </c>
      <c r="C8" s="19"/>
      <c r="D8" s="20"/>
      <c r="E8" s="20"/>
      <c r="F8" s="20"/>
      <c r="G8" s="21" t="s">
        <v>27</v>
      </c>
      <c r="H8">
        <f t="shared" si="0"/>
        <v>2</v>
      </c>
      <c r="I8" s="44"/>
    </row>
    <row r="9" spans="1:9" ht="69" customHeight="1" x14ac:dyDescent="0.25">
      <c r="A9" s="5" t="s">
        <v>22</v>
      </c>
      <c r="B9" s="47">
        <v>3</v>
      </c>
      <c r="C9" s="19"/>
      <c r="D9" s="20"/>
      <c r="E9" s="20"/>
      <c r="F9" s="20"/>
      <c r="G9" s="21" t="s">
        <v>27</v>
      </c>
      <c r="H9">
        <f t="shared" si="0"/>
        <v>3</v>
      </c>
      <c r="I9" s="44"/>
    </row>
    <row r="10" spans="1:9" ht="69" customHeight="1" x14ac:dyDescent="0.25">
      <c r="A10" s="5" t="s">
        <v>23</v>
      </c>
      <c r="B10" s="47">
        <v>3</v>
      </c>
      <c r="C10" s="19"/>
      <c r="D10" s="20"/>
      <c r="E10" s="20"/>
      <c r="F10" s="20"/>
      <c r="G10" s="8" t="s">
        <v>27</v>
      </c>
      <c r="H10">
        <f t="shared" si="0"/>
        <v>3</v>
      </c>
      <c r="I10" s="44"/>
    </row>
    <row r="11" spans="1:9" ht="69" customHeight="1" x14ac:dyDescent="0.25">
      <c r="A11" s="5" t="s">
        <v>24</v>
      </c>
      <c r="B11" s="47">
        <v>3</v>
      </c>
      <c r="C11" s="19"/>
      <c r="D11" s="20"/>
      <c r="E11" s="20"/>
      <c r="F11" s="20"/>
      <c r="G11" s="8" t="s">
        <v>27</v>
      </c>
      <c r="H11">
        <f t="shared" si="0"/>
        <v>3</v>
      </c>
      <c r="I11" s="44"/>
    </row>
    <row r="12" spans="1:9" ht="69" customHeight="1" x14ac:dyDescent="0.25">
      <c r="A12" s="5" t="s">
        <v>25</v>
      </c>
      <c r="B12" s="47">
        <v>2</v>
      </c>
      <c r="C12" s="19"/>
      <c r="D12" s="20"/>
      <c r="E12" s="20"/>
      <c r="F12" s="20"/>
      <c r="G12" s="8" t="s">
        <v>27</v>
      </c>
      <c r="H12">
        <f t="shared" si="0"/>
        <v>2</v>
      </c>
      <c r="I12" s="44"/>
    </row>
    <row r="13" spans="1:9" ht="69" customHeight="1" x14ac:dyDescent="0.25">
      <c r="A13" s="33" t="s">
        <v>28</v>
      </c>
      <c r="B13" s="47">
        <v>2</v>
      </c>
      <c r="C13" s="19"/>
      <c r="D13" s="20"/>
      <c r="E13" s="20"/>
      <c r="F13" s="20"/>
      <c r="G13" s="21" t="s">
        <v>27</v>
      </c>
      <c r="H13">
        <f t="shared" si="0"/>
        <v>2</v>
      </c>
      <c r="I13" s="44"/>
    </row>
    <row r="14" spans="1:9" ht="69" customHeight="1" x14ac:dyDescent="0.25">
      <c r="A14" s="33" t="s">
        <v>29</v>
      </c>
      <c r="B14" s="47">
        <v>2</v>
      </c>
      <c r="C14" s="19"/>
      <c r="D14" s="20"/>
      <c r="E14" s="20"/>
      <c r="F14" s="20"/>
      <c r="G14" s="21" t="s">
        <v>27</v>
      </c>
      <c r="H14">
        <f t="shared" si="0"/>
        <v>2</v>
      </c>
      <c r="I14" s="44"/>
    </row>
    <row r="15" spans="1:9" ht="114" customHeight="1" x14ac:dyDescent="0.25">
      <c r="A15" s="33" t="s">
        <v>48</v>
      </c>
      <c r="B15" s="47">
        <v>3</v>
      </c>
      <c r="C15" s="19"/>
      <c r="D15" s="20"/>
      <c r="E15" s="20"/>
      <c r="F15" s="20"/>
      <c r="G15" s="21" t="s">
        <v>27</v>
      </c>
      <c r="H15">
        <f t="shared" si="0"/>
        <v>3</v>
      </c>
      <c r="I15" s="44"/>
    </row>
    <row r="16" spans="1:9" ht="90" customHeight="1" x14ac:dyDescent="0.25">
      <c r="A16" s="33" t="s">
        <v>30</v>
      </c>
      <c r="B16" s="47">
        <v>3</v>
      </c>
      <c r="C16" s="19"/>
      <c r="D16" s="20"/>
      <c r="E16" s="20"/>
      <c r="F16" s="20"/>
      <c r="G16" s="21" t="s">
        <v>27</v>
      </c>
      <c r="H16">
        <f t="shared" si="0"/>
        <v>3</v>
      </c>
      <c r="I16" s="44"/>
    </row>
    <row r="17" spans="1:9" ht="82.5" customHeight="1" x14ac:dyDescent="0.25">
      <c r="A17" s="33" t="s">
        <v>31</v>
      </c>
      <c r="B17" s="47">
        <v>3</v>
      </c>
      <c r="C17" s="19"/>
      <c r="D17" s="20"/>
      <c r="E17" s="20"/>
      <c r="F17" s="20"/>
      <c r="G17" s="21" t="s">
        <v>27</v>
      </c>
      <c r="H17">
        <f t="shared" si="0"/>
        <v>3</v>
      </c>
      <c r="I17" s="44"/>
    </row>
    <row r="18" spans="1:9" ht="90" customHeight="1" x14ac:dyDescent="0.25">
      <c r="A18" s="33" t="s">
        <v>32</v>
      </c>
      <c r="B18" s="47">
        <v>3</v>
      </c>
      <c r="C18" s="19"/>
      <c r="D18" s="20"/>
      <c r="E18" s="20"/>
      <c r="F18" s="20"/>
      <c r="G18" s="21" t="s">
        <v>27</v>
      </c>
      <c r="H18">
        <f t="shared" si="0"/>
        <v>3</v>
      </c>
      <c r="I18" s="44"/>
    </row>
    <row r="19" spans="1:9" ht="93" customHeight="1" x14ac:dyDescent="0.25">
      <c r="A19" s="33" t="s">
        <v>49</v>
      </c>
      <c r="B19" s="47">
        <v>3</v>
      </c>
      <c r="C19" s="19"/>
      <c r="D19" s="20"/>
      <c r="E19" s="20"/>
      <c r="F19" s="20"/>
      <c r="G19" s="21" t="s">
        <v>27</v>
      </c>
      <c r="H19">
        <f t="shared" si="0"/>
        <v>3</v>
      </c>
      <c r="I19" s="44"/>
    </row>
    <row r="20" spans="1:9" ht="85.5" customHeight="1" x14ac:dyDescent="0.25">
      <c r="A20" s="33" t="s">
        <v>33</v>
      </c>
      <c r="B20" s="47">
        <v>3</v>
      </c>
      <c r="C20" s="19"/>
      <c r="D20" s="20"/>
      <c r="E20" s="20"/>
      <c r="F20" s="20"/>
      <c r="G20" s="21" t="s">
        <v>27</v>
      </c>
      <c r="H20">
        <f t="shared" si="0"/>
        <v>3</v>
      </c>
      <c r="I20" s="44"/>
    </row>
    <row r="21" spans="1:9" ht="81.75" customHeight="1" x14ac:dyDescent="0.25">
      <c r="A21" s="33" t="s">
        <v>34</v>
      </c>
      <c r="B21" s="47">
        <v>3</v>
      </c>
      <c r="C21" s="19"/>
      <c r="D21" s="20"/>
      <c r="E21" s="20"/>
      <c r="F21" s="20"/>
      <c r="G21" s="21" t="s">
        <v>27</v>
      </c>
      <c r="H21">
        <f t="shared" si="0"/>
        <v>3</v>
      </c>
      <c r="I21" s="44"/>
    </row>
    <row r="22" spans="1:9" ht="84.75" customHeight="1" x14ac:dyDescent="0.25">
      <c r="A22" s="33" t="s">
        <v>35</v>
      </c>
      <c r="B22" s="47">
        <v>3</v>
      </c>
      <c r="C22" s="19"/>
      <c r="D22" s="20"/>
      <c r="E22" s="20"/>
      <c r="F22" s="20"/>
      <c r="G22" s="21" t="s">
        <v>27</v>
      </c>
      <c r="H22">
        <f t="shared" si="0"/>
        <v>3</v>
      </c>
      <c r="I22" s="44"/>
    </row>
    <row r="23" spans="1:9" ht="69" customHeight="1" x14ac:dyDescent="0.25">
      <c r="A23" s="33" t="s">
        <v>50</v>
      </c>
      <c r="B23" s="47">
        <v>3</v>
      </c>
      <c r="C23" s="19"/>
      <c r="D23" s="20"/>
      <c r="E23" s="20"/>
      <c r="F23" s="20"/>
      <c r="G23" s="21" t="s">
        <v>27</v>
      </c>
      <c r="H23">
        <f t="shared" si="0"/>
        <v>3</v>
      </c>
      <c r="I23" s="44"/>
    </row>
    <row r="24" spans="1:9" ht="170.25" customHeight="1" x14ac:dyDescent="0.25">
      <c r="A24" s="33" t="s">
        <v>51</v>
      </c>
      <c r="B24" s="47">
        <v>3</v>
      </c>
      <c r="C24" s="19"/>
      <c r="D24" s="20"/>
      <c r="E24" s="20"/>
      <c r="F24" s="20"/>
      <c r="G24" s="21" t="s">
        <v>27</v>
      </c>
      <c r="H24">
        <f t="shared" si="0"/>
        <v>3</v>
      </c>
      <c r="I24" s="44"/>
    </row>
    <row r="25" spans="1:9" ht="107.25" customHeight="1" x14ac:dyDescent="0.25">
      <c r="A25" s="33" t="s">
        <v>52</v>
      </c>
      <c r="B25" s="47">
        <v>3</v>
      </c>
      <c r="C25" s="19"/>
      <c r="D25" s="20"/>
      <c r="E25" s="20"/>
      <c r="F25" s="20"/>
      <c r="G25" s="8" t="s">
        <v>27</v>
      </c>
      <c r="H25">
        <f t="shared" si="0"/>
        <v>3</v>
      </c>
      <c r="I25" s="44"/>
    </row>
    <row r="26" spans="1:9" ht="99.75" customHeight="1" x14ac:dyDescent="0.25">
      <c r="A26" s="33" t="s">
        <v>36</v>
      </c>
      <c r="B26" s="47">
        <v>3</v>
      </c>
      <c r="C26" s="19"/>
      <c r="D26" s="20"/>
      <c r="E26" s="20"/>
      <c r="F26" s="20"/>
      <c r="G26" s="8" t="s">
        <v>27</v>
      </c>
      <c r="H26">
        <f t="shared" si="0"/>
        <v>3</v>
      </c>
      <c r="I26" s="44"/>
    </row>
    <row r="27" spans="1:9" ht="101.25" customHeight="1" x14ac:dyDescent="0.25">
      <c r="A27" s="33" t="s">
        <v>37</v>
      </c>
      <c r="B27" s="47">
        <v>3</v>
      </c>
      <c r="C27" s="19"/>
      <c r="D27" s="20"/>
      <c r="E27" s="20"/>
      <c r="F27" s="20"/>
      <c r="G27" s="8" t="s">
        <v>27</v>
      </c>
      <c r="H27">
        <f t="shared" si="0"/>
        <v>3</v>
      </c>
      <c r="I27" s="44"/>
    </row>
    <row r="28" spans="1:9" ht="96.75" customHeight="1" x14ac:dyDescent="0.25">
      <c r="A28" s="33" t="s">
        <v>38</v>
      </c>
      <c r="B28" s="47">
        <v>3</v>
      </c>
      <c r="C28" s="19"/>
      <c r="D28" s="20"/>
      <c r="E28" s="20"/>
      <c r="F28" s="20"/>
      <c r="G28" s="21" t="s">
        <v>27</v>
      </c>
      <c r="H28">
        <f t="shared" si="0"/>
        <v>3</v>
      </c>
      <c r="I28" s="44"/>
    </row>
    <row r="29" spans="1:9" ht="75" customHeight="1" x14ac:dyDescent="0.25">
      <c r="A29" s="33" t="s">
        <v>39</v>
      </c>
      <c r="B29" s="47">
        <v>3</v>
      </c>
      <c r="C29" s="19"/>
      <c r="D29" s="20"/>
      <c r="E29" s="20"/>
      <c r="F29" s="20"/>
      <c r="G29" s="21" t="s">
        <v>27</v>
      </c>
      <c r="H29">
        <f t="shared" si="0"/>
        <v>3</v>
      </c>
      <c r="I29" s="44"/>
    </row>
    <row r="30" spans="1:9" ht="75" customHeight="1" x14ac:dyDescent="0.25">
      <c r="A30" s="33" t="s">
        <v>53</v>
      </c>
      <c r="B30" s="47">
        <v>3</v>
      </c>
      <c r="C30" s="19"/>
      <c r="D30" s="20"/>
      <c r="E30" s="20"/>
      <c r="F30" s="20"/>
      <c r="G30" s="21" t="s">
        <v>27</v>
      </c>
      <c r="H30">
        <f t="shared" si="0"/>
        <v>3</v>
      </c>
      <c r="I30" s="44"/>
    </row>
    <row r="31" spans="1:9" ht="75" customHeight="1" x14ac:dyDescent="0.25">
      <c r="A31" s="33" t="s">
        <v>40</v>
      </c>
      <c r="B31" s="47">
        <v>3</v>
      </c>
      <c r="C31" s="19"/>
      <c r="D31" s="20"/>
      <c r="E31" s="20"/>
      <c r="F31" s="20"/>
      <c r="G31" s="21" t="s">
        <v>27</v>
      </c>
      <c r="H31">
        <f t="shared" si="0"/>
        <v>3</v>
      </c>
      <c r="I31" s="44"/>
    </row>
    <row r="32" spans="1:9" ht="75" customHeight="1" x14ac:dyDescent="0.25">
      <c r="A32" s="33" t="s">
        <v>41</v>
      </c>
      <c r="B32" s="47">
        <v>3</v>
      </c>
      <c r="C32" s="19"/>
      <c r="D32" s="20"/>
      <c r="E32" s="20"/>
      <c r="F32" s="20"/>
      <c r="G32" s="21" t="s">
        <v>27</v>
      </c>
      <c r="H32">
        <f t="shared" si="0"/>
        <v>3</v>
      </c>
      <c r="I32" s="44"/>
    </row>
    <row r="33" spans="1:9" ht="81.75" customHeight="1" x14ac:dyDescent="0.25">
      <c r="A33" s="33" t="s">
        <v>54</v>
      </c>
      <c r="B33" s="47">
        <v>3</v>
      </c>
      <c r="C33" s="12"/>
      <c r="D33" s="7"/>
      <c r="E33" s="7"/>
      <c r="F33" s="7"/>
      <c r="G33" s="8" t="s">
        <v>27</v>
      </c>
      <c r="H33">
        <f t="shared" si="0"/>
        <v>3</v>
      </c>
      <c r="I33" s="44"/>
    </row>
    <row r="34" spans="1:9" ht="75" customHeight="1" x14ac:dyDescent="0.25">
      <c r="A34" s="33" t="s">
        <v>42</v>
      </c>
      <c r="B34" s="47">
        <v>3</v>
      </c>
      <c r="C34" s="12"/>
      <c r="D34" s="7"/>
      <c r="E34" s="7"/>
      <c r="F34" s="7"/>
      <c r="G34" s="8" t="s">
        <v>27</v>
      </c>
      <c r="H34">
        <f t="shared" si="0"/>
        <v>3</v>
      </c>
      <c r="I34" s="44"/>
    </row>
    <row r="35" spans="1:9" ht="77.25" customHeight="1" thickBot="1" x14ac:dyDescent="0.3">
      <c r="A35" s="33" t="s">
        <v>55</v>
      </c>
      <c r="B35" s="47">
        <v>3</v>
      </c>
      <c r="C35" s="12"/>
      <c r="D35" s="7"/>
      <c r="E35" s="7"/>
      <c r="F35" s="7"/>
      <c r="G35" s="8" t="s">
        <v>27</v>
      </c>
      <c r="H35">
        <f t="shared" si="0"/>
        <v>3</v>
      </c>
      <c r="I35" s="44"/>
    </row>
    <row r="36" spans="1:9" ht="18.75" customHeight="1" x14ac:dyDescent="0.3">
      <c r="A36" s="1"/>
      <c r="B36" s="6"/>
      <c r="C36" s="55" t="s">
        <v>0</v>
      </c>
      <c r="D36" s="56"/>
      <c r="E36" s="56"/>
      <c r="F36" s="56"/>
      <c r="G36" s="57"/>
      <c r="I36" s="40"/>
    </row>
    <row r="37" spans="1:9" ht="120" customHeight="1" thickBot="1" x14ac:dyDescent="0.3">
      <c r="A37" s="11" t="s">
        <v>9</v>
      </c>
      <c r="C37" s="4" t="s">
        <v>16</v>
      </c>
      <c r="D37" s="48" t="s">
        <v>17</v>
      </c>
      <c r="E37" s="2" t="s">
        <v>18</v>
      </c>
      <c r="F37" s="2" t="s">
        <v>19</v>
      </c>
      <c r="G37" s="3" t="s">
        <v>20</v>
      </c>
      <c r="I37" s="41"/>
    </row>
    <row r="38" spans="1:9" ht="19.5" customHeight="1" thickBot="1" x14ac:dyDescent="0.35">
      <c r="A38" s="13" t="s">
        <v>1</v>
      </c>
      <c r="B38" s="14" t="s">
        <v>7</v>
      </c>
      <c r="C38" s="15" t="s">
        <v>2</v>
      </c>
      <c r="D38" s="37" t="s">
        <v>3</v>
      </c>
      <c r="E38" s="16" t="s">
        <v>4</v>
      </c>
      <c r="F38" s="16" t="s">
        <v>5</v>
      </c>
      <c r="G38" s="17" t="s">
        <v>6</v>
      </c>
      <c r="I38" s="41"/>
    </row>
    <row r="39" spans="1:9" ht="141" customHeight="1" x14ac:dyDescent="0.25">
      <c r="A39" s="22" t="s">
        <v>43</v>
      </c>
      <c r="B39" s="42">
        <v>6</v>
      </c>
      <c r="C39" s="23"/>
      <c r="D39" s="24"/>
      <c r="E39" s="24"/>
      <c r="F39" s="24"/>
      <c r="G39" s="25" t="s">
        <v>27</v>
      </c>
      <c r="H39">
        <f t="shared" ref="H39" si="1">_xlfn.IFS(C39="X",(0*B39)/4,D39="X",(1*B39)/4,E39="X",(2*B39)/4,F39="X",(3*B39)/4,G39="X",(4*B39)/4)</f>
        <v>6</v>
      </c>
      <c r="I39" s="45"/>
    </row>
    <row r="40" spans="1:9" ht="81" customHeight="1" thickBot="1" x14ac:dyDescent="0.3">
      <c r="A40" s="18" t="s">
        <v>26</v>
      </c>
      <c r="B40" s="43">
        <v>4</v>
      </c>
      <c r="C40" s="26"/>
      <c r="D40" s="27"/>
      <c r="E40" s="27"/>
      <c r="F40" s="27"/>
      <c r="G40" s="28" t="s">
        <v>27</v>
      </c>
      <c r="H40" s="29">
        <f t="shared" ref="H40" si="2">_xlfn.IFS(C40="X",(0*B40)/4,D40="X",(1*B40)/4,E40="X",(2*B40)/4,F40="X",(3*B40)/4,G40="X",(4*B40)/4)</f>
        <v>4</v>
      </c>
      <c r="I40" s="46"/>
    </row>
    <row r="42" spans="1:9" ht="31.5" x14ac:dyDescent="0.5">
      <c r="F42" s="9" t="s">
        <v>8</v>
      </c>
      <c r="G42" s="10">
        <f>SUM(H4:H40)</f>
        <v>100</v>
      </c>
    </row>
  </sheetData>
  <mergeCells count="3">
    <mergeCell ref="C1:G1"/>
    <mergeCell ref="I1:I3"/>
    <mergeCell ref="C36:G36"/>
  </mergeCells>
  <conditionalFormatting sqref="G42">
    <cfRule type="cellIs" dxfId="1" priority="3" operator="lessThan">
      <formula>70</formula>
    </cfRule>
    <cfRule type="cellIs" dxfId="0" priority="4" operator="greaterThanOrEqual">
      <formula>70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Mario Viquez Acuna</dc:creator>
  <cp:lastModifiedBy>JEFF LOPEZ CASTRO</cp:lastModifiedBy>
  <dcterms:created xsi:type="dcterms:W3CDTF">2019-09-13T15:06:11Z</dcterms:created>
  <dcterms:modified xsi:type="dcterms:W3CDTF">2026-05-27T23:17:01Z</dcterms:modified>
</cp:coreProperties>
</file>